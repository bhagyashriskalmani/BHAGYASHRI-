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E084F31-6956-4768-A1A6-58A25892194B}" xr6:coauthVersionLast="36" xr6:coauthVersionMax="36" xr10:uidLastSave="{00000000-0000-0000-0000-000000000000}"/>
  <bookViews>
    <workbookView xWindow="0" yWindow="0" windowWidth="20490" windowHeight="7425" firstSheet="2" activeTab="4" xr2:uid="{18DEC43F-637C-4791-95EE-872D1EE29346}"/>
  </bookViews>
  <sheets>
    <sheet name="Original Dataset" sheetId="2" r:id="rId1"/>
    <sheet name="Iteration-1" sheetId="1" r:id="rId2"/>
    <sheet name="Iteration-2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" l="1"/>
  <c r="E13" i="3" s="1"/>
  <c r="F13" i="3" s="1"/>
  <c r="G13" i="3" s="1"/>
  <c r="I13" i="3" s="1"/>
  <c r="D12" i="3"/>
  <c r="E12" i="3" s="1"/>
  <c r="F12" i="3" s="1"/>
  <c r="G12" i="3" s="1"/>
  <c r="I12" i="3" s="1"/>
  <c r="D11" i="3"/>
  <c r="E11" i="3" s="1"/>
  <c r="F11" i="3" s="1"/>
  <c r="G11" i="3" s="1"/>
  <c r="I11" i="3" s="1"/>
  <c r="D10" i="3"/>
  <c r="D9" i="3"/>
  <c r="E9" i="3" s="1"/>
  <c r="F9" i="3" s="1"/>
  <c r="G9" i="3" s="1"/>
  <c r="I9" i="3" s="1"/>
  <c r="D8" i="3"/>
  <c r="E8" i="3" s="1"/>
  <c r="F8" i="3" s="1"/>
  <c r="G8" i="3" s="1"/>
  <c r="E10" i="3"/>
  <c r="F10" i="3" s="1"/>
  <c r="G10" i="3" s="1"/>
  <c r="I10" i="3" s="1"/>
  <c r="L8" i="1"/>
  <c r="K8" i="1"/>
  <c r="J8" i="1"/>
  <c r="I9" i="1"/>
  <c r="I10" i="1"/>
  <c r="I11" i="1"/>
  <c r="I12" i="1"/>
  <c r="I13" i="1"/>
  <c r="I8" i="1"/>
  <c r="H8" i="1"/>
  <c r="G9" i="1"/>
  <c r="G10" i="1"/>
  <c r="G11" i="1"/>
  <c r="G12" i="1"/>
  <c r="G13" i="1"/>
  <c r="G8" i="1"/>
  <c r="F9" i="1"/>
  <c r="F10" i="1"/>
  <c r="F11" i="1"/>
  <c r="F12" i="1"/>
  <c r="F13" i="1"/>
  <c r="F8" i="1"/>
  <c r="E9" i="1"/>
  <c r="E10" i="1"/>
  <c r="E11" i="1"/>
  <c r="E12" i="1"/>
  <c r="E13" i="1"/>
  <c r="E8" i="1"/>
  <c r="D13" i="1"/>
  <c r="D12" i="1"/>
  <c r="D11" i="1"/>
  <c r="D10" i="1"/>
  <c r="D9" i="1"/>
  <c r="D8" i="1"/>
  <c r="I8" i="3" l="1"/>
  <c r="J8" i="3" s="1"/>
  <c r="L8" i="3" s="1"/>
  <c r="H8" i="3"/>
  <c r="K8" i="3" s="1"/>
</calcChain>
</file>

<file path=xl/sharedStrings.xml><?xml version="1.0" encoding="utf-8"?>
<sst xmlns="http://schemas.openxmlformats.org/spreadsheetml/2006/main" count="55" uniqueCount="29">
  <si>
    <t>Initialization</t>
  </si>
  <si>
    <t>β_0</t>
  </si>
  <si>
    <t>β_1</t>
  </si>
  <si>
    <t>i</t>
  </si>
  <si>
    <t>Temperature (x)</t>
  </si>
  <si>
    <t>Y</t>
  </si>
  <si>
    <t>α</t>
  </si>
  <si>
    <t>Z</t>
  </si>
  <si>
    <t>y</t>
  </si>
  <si>
    <t>p</t>
  </si>
  <si>
    <t>exp</t>
  </si>
  <si>
    <t>Error= p-y</t>
  </si>
  <si>
    <t>g_0(Intercept gradient)</t>
  </si>
  <si>
    <t>(p-y)x</t>
  </si>
  <si>
    <t>Slope Gradient (g_1)</t>
  </si>
  <si>
    <t>Update Weights</t>
  </si>
  <si>
    <t>β_0= β_0-αg_0</t>
  </si>
  <si>
    <t>β_1= β_1-αg_1</t>
  </si>
  <si>
    <t>Updated Model</t>
  </si>
  <si>
    <t>z=−0.0026−0.084x</t>
  </si>
  <si>
    <t>z=0+0.045x</t>
  </si>
  <si>
    <t>Final Model</t>
  </si>
  <si>
    <t>z=−36.7458+0.5653x</t>
  </si>
  <si>
    <t xml:space="preserve">p(x) = </t>
  </si>
  <si>
    <t>1/(1+e^-z)</t>
  </si>
  <si>
    <t>Humidity</t>
  </si>
  <si>
    <t>Linear Predictor (z)</t>
  </si>
  <si>
    <t>Probability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</si>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</sst>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Sheet4!$A$2:$A$7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xVal>
          <c:yVal>
            <c:numRef>
              <c:f>Sheet4!$C$2:$C$7</c:f>
              <c:numCache>
                <c:formatCode>General</c:formatCode>
                <c:ptCount val="6"/>
                <c:pt idx="0">
                  <c:v>2E-3</c:v>
                </c:pt>
                <c:pt idx="1">
                  <c:v>1.7999999999999999E-2</c:v>
                </c:pt>
                <c:pt idx="2">
                  <c:v>0.11899999999999999</c:v>
                </c:pt>
                <c:pt idx="3">
                  <c:v>0.5</c:v>
                </c:pt>
                <c:pt idx="4">
                  <c:v>0.88100000000000001</c:v>
                </c:pt>
                <c:pt idx="5">
                  <c:v>0.98199999999999998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06-4467-82ED-1C78F2B0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45184"/>
        <c:axId val="133840384"/>
      </c:scatterChart>
      <c:valAx>
        <c:axId val="13384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384"/>
        <c:crosses val="autoZero"/>
        <c:crossBetween val="midCat"/>
      </c:valAx>
      <c:valAx>
        <c:axId val="133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Sheet5!$A$2:$A$21</c:f>
              <c:numCache>
                <c:formatCode>General</c:formatCode>
                <c:ptCount val="20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52</c:v>
                </c:pt>
                <c:pt idx="6">
                  <c:v>54</c:v>
                </c:pt>
                <c:pt idx="7">
                  <c:v>56</c:v>
                </c:pt>
                <c:pt idx="8">
                  <c:v>58</c:v>
                </c:pt>
                <c:pt idx="9">
                  <c:v>60</c:v>
                </c:pt>
                <c:pt idx="10">
                  <c:v>62</c:v>
                </c:pt>
                <c:pt idx="11">
                  <c:v>64</c:v>
                </c:pt>
                <c:pt idx="12">
                  <c:v>66</c:v>
                </c:pt>
                <c:pt idx="13">
                  <c:v>68</c:v>
                </c:pt>
                <c:pt idx="14">
                  <c:v>70</c:v>
                </c:pt>
                <c:pt idx="15">
                  <c:v>72</c:v>
                </c:pt>
                <c:pt idx="16">
                  <c:v>74</c:v>
                </c:pt>
                <c:pt idx="17">
                  <c:v>76</c:v>
                </c:pt>
                <c:pt idx="18">
                  <c:v>78</c:v>
                </c:pt>
                <c:pt idx="19">
                  <c:v>80</c:v>
                </c:pt>
              </c:numCache>
            </c:numRef>
          </c:xVal>
          <c:yVal>
            <c:numRef>
              <c:f>Sheet5!$C$2:$C$21</c:f>
              <c:numCache>
                <c:formatCode>General</c:formatCode>
                <c:ptCount val="20"/>
                <c:pt idx="0">
                  <c:v>2E-3</c:v>
                </c:pt>
                <c:pt idx="1">
                  <c:v>7.0000000000000001E-3</c:v>
                </c:pt>
                <c:pt idx="2">
                  <c:v>1.7999999999999999E-2</c:v>
                </c:pt>
                <c:pt idx="3">
                  <c:v>4.7E-2</c:v>
                </c:pt>
                <c:pt idx="4">
                  <c:v>0.11899999999999999</c:v>
                </c:pt>
                <c:pt idx="5">
                  <c:v>0.16700000000000001</c:v>
                </c:pt>
                <c:pt idx="6">
                  <c:v>0.23100000000000001</c:v>
                </c:pt>
                <c:pt idx="7">
                  <c:v>0.31</c:v>
                </c:pt>
                <c:pt idx="8">
                  <c:v>0.40100000000000002</c:v>
                </c:pt>
                <c:pt idx="9">
                  <c:v>0.5</c:v>
                </c:pt>
                <c:pt idx="10">
                  <c:v>0.59799999999999998</c:v>
                </c:pt>
                <c:pt idx="11">
                  <c:v>0.69</c:v>
                </c:pt>
                <c:pt idx="12">
                  <c:v>0.76900000000000002</c:v>
                </c:pt>
                <c:pt idx="13">
                  <c:v>0.83199999999999996</c:v>
                </c:pt>
                <c:pt idx="14">
                  <c:v>0.88100000000000001</c:v>
                </c:pt>
                <c:pt idx="15">
                  <c:v>0.91700000000000004</c:v>
                </c:pt>
                <c:pt idx="16">
                  <c:v>0.94299999999999995</c:v>
                </c:pt>
                <c:pt idx="17">
                  <c:v>0.96</c:v>
                </c:pt>
                <c:pt idx="18">
                  <c:v>0.97299999999999998</c:v>
                </c:pt>
                <c:pt idx="19">
                  <c:v>0.98199999999999998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5-446E-9B1B-CD9873E2F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33024"/>
        <c:axId val="133937344"/>
      </c:scatterChart>
      <c:valAx>
        <c:axId val="1339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7344"/>
        <c:crosses val="autoZero"/>
        <c:crossBetween val="midCat"/>
      </c:valAx>
      <c:valAx>
        <c:axId val="1339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1</xdr:row>
      <xdr:rowOff>174625</xdr:rowOff>
    </xdr:from>
    <xdr:to>
      <xdr:col>12</xdr:col>
      <xdr:colOff>327025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05EB4-99CD-1FD6-D5A6-A5D0440C4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174625</xdr:rowOff>
    </xdr:from>
    <xdr:to>
      <xdr:col>13</xdr:col>
      <xdr:colOff>231775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099EA-4DA0-8499-08E4-65F0C4372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B185-DBF7-42F8-9CC0-39C2B41C43D8}">
  <dimension ref="A2:C8"/>
  <sheetViews>
    <sheetView workbookViewId="0">
      <selection activeCell="B2" sqref="B2:B8"/>
    </sheetView>
  </sheetViews>
  <sheetFormatPr defaultRowHeight="14.25"/>
  <cols>
    <col min="2" max="2" width="18.75" customWidth="1"/>
  </cols>
  <sheetData>
    <row r="2" spans="1:3" ht="36">
      <c r="A2" s="9" t="s">
        <v>3</v>
      </c>
      <c r="B2" s="9" t="s">
        <v>4</v>
      </c>
      <c r="C2" s="9" t="s">
        <v>5</v>
      </c>
    </row>
    <row r="3" spans="1:3" ht="18">
      <c r="A3" s="9">
        <v>1</v>
      </c>
      <c r="B3" s="9">
        <v>40</v>
      </c>
      <c r="C3" s="9">
        <v>0</v>
      </c>
    </row>
    <row r="4" spans="1:3" ht="18">
      <c r="A4" s="9">
        <v>2</v>
      </c>
      <c r="B4" s="9">
        <v>50</v>
      </c>
      <c r="C4" s="9">
        <v>0</v>
      </c>
    </row>
    <row r="5" spans="1:3" ht="18">
      <c r="A5" s="9">
        <v>3</v>
      </c>
      <c r="B5" s="9">
        <v>60</v>
      </c>
      <c r="C5" s="9">
        <v>0</v>
      </c>
    </row>
    <row r="6" spans="1:3" ht="18">
      <c r="A6" s="9">
        <v>4</v>
      </c>
      <c r="B6" s="9">
        <v>70</v>
      </c>
      <c r="C6" s="9">
        <v>1</v>
      </c>
    </row>
    <row r="7" spans="1:3" ht="18">
      <c r="A7" s="9">
        <v>5</v>
      </c>
      <c r="B7" s="9">
        <v>80</v>
      </c>
      <c r="C7" s="9">
        <v>1</v>
      </c>
    </row>
    <row r="8" spans="1:3" ht="18">
      <c r="A8" s="9">
        <v>6</v>
      </c>
      <c r="B8" s="9">
        <v>90</v>
      </c>
      <c r="C8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A024-8004-46D5-8914-98ED3AA9C6E2}">
  <dimension ref="A2:L17"/>
  <sheetViews>
    <sheetView topLeftCell="B7" workbookViewId="0">
      <selection activeCell="L8" sqref="L8"/>
    </sheetView>
  </sheetViews>
  <sheetFormatPr defaultRowHeight="14.25"/>
  <cols>
    <col min="8" max="8" width="11.875" customWidth="1"/>
    <col min="10" max="10" width="12.375" customWidth="1"/>
  </cols>
  <sheetData>
    <row r="2" spans="1:12" ht="15">
      <c r="A2" s="12" t="s">
        <v>0</v>
      </c>
      <c r="B2" s="12"/>
      <c r="C2" s="12"/>
      <c r="D2" s="12"/>
      <c r="E2" s="12" t="s">
        <v>15</v>
      </c>
      <c r="F2" s="12"/>
    </row>
    <row r="3" spans="1:12" ht="15">
      <c r="A3" s="13" t="s">
        <v>1</v>
      </c>
      <c r="B3" s="12">
        <v>0</v>
      </c>
      <c r="C3" s="12"/>
      <c r="D3" s="12"/>
      <c r="E3" s="13" t="s">
        <v>16</v>
      </c>
      <c r="F3" s="12"/>
    </row>
    <row r="4" spans="1:12" ht="15">
      <c r="A4" s="13" t="s">
        <v>2</v>
      </c>
      <c r="B4" s="12">
        <v>0</v>
      </c>
      <c r="C4" s="12"/>
      <c r="D4" s="12"/>
      <c r="E4" s="13" t="s">
        <v>17</v>
      </c>
      <c r="F4" s="12"/>
    </row>
    <row r="5" spans="1:12" ht="15">
      <c r="A5" s="12" t="s">
        <v>6</v>
      </c>
      <c r="B5" s="12">
        <v>1E-3</v>
      </c>
      <c r="C5" s="12"/>
      <c r="D5" s="12"/>
      <c r="E5" s="12"/>
      <c r="F5" s="12"/>
    </row>
    <row r="7" spans="1:12" ht="45">
      <c r="A7" s="2" t="s">
        <v>3</v>
      </c>
      <c r="B7" s="2" t="s">
        <v>4</v>
      </c>
      <c r="C7" s="2" t="s">
        <v>8</v>
      </c>
      <c r="D7" s="10" t="s">
        <v>7</v>
      </c>
      <c r="E7" s="2" t="s">
        <v>10</v>
      </c>
      <c r="F7" s="2" t="s">
        <v>9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</v>
      </c>
      <c r="L7" s="2" t="s">
        <v>2</v>
      </c>
    </row>
    <row r="8" spans="1:12" ht="15">
      <c r="A8" s="2">
        <v>1</v>
      </c>
      <c r="B8" s="2">
        <v>40</v>
      </c>
      <c r="C8" s="2">
        <v>0</v>
      </c>
      <c r="D8" s="10">
        <f>B3+B4*B8</f>
        <v>0</v>
      </c>
      <c r="E8" s="11">
        <f>EXP(-D8)</f>
        <v>1</v>
      </c>
      <c r="F8" s="11">
        <f>1/(1+E8)</f>
        <v>0.5</v>
      </c>
      <c r="G8" s="10">
        <f>F8-C8</f>
        <v>0.5</v>
      </c>
      <c r="H8" s="10">
        <f>SUM(G8:G13)</f>
        <v>0</v>
      </c>
      <c r="I8" s="10">
        <f>G8*B8</f>
        <v>20</v>
      </c>
      <c r="J8" s="10">
        <f>SUM(I8:I13)</f>
        <v>-45</v>
      </c>
      <c r="K8" s="10">
        <f>B3-B5*H8</f>
        <v>0</v>
      </c>
      <c r="L8" s="4">
        <f>B4-B5*J8</f>
        <v>4.4999999999999998E-2</v>
      </c>
    </row>
    <row r="9" spans="1:12" ht="15">
      <c r="A9" s="2">
        <v>2</v>
      </c>
      <c r="B9" s="2">
        <v>50</v>
      </c>
      <c r="C9" s="2">
        <v>0</v>
      </c>
      <c r="D9" s="10">
        <f>B3+B4*B9</f>
        <v>0</v>
      </c>
      <c r="E9" s="11">
        <f t="shared" ref="E9:E13" si="0">EXP(-D9)</f>
        <v>1</v>
      </c>
      <c r="F9" s="11">
        <f t="shared" ref="F9:F13" si="1">1/(1+E9)</f>
        <v>0.5</v>
      </c>
      <c r="G9" s="10">
        <f t="shared" ref="G9:G13" si="2">F9-C9</f>
        <v>0.5</v>
      </c>
      <c r="H9" s="11"/>
      <c r="I9" s="10">
        <f t="shared" ref="I9:I13" si="3">G9*B9</f>
        <v>25</v>
      </c>
      <c r="J9" s="11"/>
      <c r="K9" s="11"/>
      <c r="L9" s="3"/>
    </row>
    <row r="10" spans="1:12" ht="15">
      <c r="A10" s="2">
        <v>3</v>
      </c>
      <c r="B10" s="2">
        <v>60</v>
      </c>
      <c r="C10" s="2">
        <v>0</v>
      </c>
      <c r="D10" s="10">
        <f>B3+B4*B10</f>
        <v>0</v>
      </c>
      <c r="E10" s="11">
        <f t="shared" si="0"/>
        <v>1</v>
      </c>
      <c r="F10" s="11">
        <f t="shared" si="1"/>
        <v>0.5</v>
      </c>
      <c r="G10" s="10">
        <f t="shared" si="2"/>
        <v>0.5</v>
      </c>
      <c r="H10" s="11"/>
      <c r="I10" s="10">
        <f t="shared" si="3"/>
        <v>30</v>
      </c>
      <c r="J10" s="11"/>
      <c r="K10" s="11"/>
      <c r="L10" s="3"/>
    </row>
    <row r="11" spans="1:12" ht="15">
      <c r="A11" s="2">
        <v>4</v>
      </c>
      <c r="B11" s="2">
        <v>70</v>
      </c>
      <c r="C11" s="2">
        <v>1</v>
      </c>
      <c r="D11" s="10">
        <f>B3+B4*B11</f>
        <v>0</v>
      </c>
      <c r="E11" s="11">
        <f t="shared" si="0"/>
        <v>1</v>
      </c>
      <c r="F11" s="11">
        <f t="shared" si="1"/>
        <v>0.5</v>
      </c>
      <c r="G11" s="10">
        <f t="shared" si="2"/>
        <v>-0.5</v>
      </c>
      <c r="H11" s="11"/>
      <c r="I11" s="10">
        <f t="shared" si="3"/>
        <v>-35</v>
      </c>
      <c r="J11" s="11"/>
      <c r="K11" s="11"/>
      <c r="L11" s="3"/>
    </row>
    <row r="12" spans="1:12" ht="15">
      <c r="A12" s="2">
        <v>5</v>
      </c>
      <c r="B12" s="2">
        <v>80</v>
      </c>
      <c r="C12" s="2">
        <v>1</v>
      </c>
      <c r="D12" s="10">
        <f>B3+B4*B12</f>
        <v>0</v>
      </c>
      <c r="E12" s="11">
        <f t="shared" si="0"/>
        <v>1</v>
      </c>
      <c r="F12" s="11">
        <f t="shared" si="1"/>
        <v>0.5</v>
      </c>
      <c r="G12" s="10">
        <f t="shared" si="2"/>
        <v>-0.5</v>
      </c>
      <c r="H12" s="11"/>
      <c r="I12" s="10">
        <f t="shared" si="3"/>
        <v>-40</v>
      </c>
      <c r="J12" s="11"/>
      <c r="K12" s="11"/>
      <c r="L12" s="3"/>
    </row>
    <row r="13" spans="1:12" ht="15">
      <c r="A13" s="2">
        <v>6</v>
      </c>
      <c r="B13" s="2">
        <v>90</v>
      </c>
      <c r="C13" s="2">
        <v>1</v>
      </c>
      <c r="D13" s="10">
        <f>B3+B4*B13</f>
        <v>0</v>
      </c>
      <c r="E13" s="11">
        <f t="shared" si="0"/>
        <v>1</v>
      </c>
      <c r="F13" s="11">
        <f t="shared" si="1"/>
        <v>0.5</v>
      </c>
      <c r="G13" s="10">
        <f t="shared" si="2"/>
        <v>-0.5</v>
      </c>
      <c r="H13" s="11"/>
      <c r="I13" s="10">
        <f t="shared" si="3"/>
        <v>-45</v>
      </c>
      <c r="J13" s="11"/>
      <c r="K13" s="11"/>
      <c r="L13" s="3"/>
    </row>
    <row r="17" spans="6:7" ht="28.5">
      <c r="F17" s="6" t="s">
        <v>18</v>
      </c>
      <c r="G1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932D-4224-4FCB-B28E-984C4DAE7635}">
  <dimension ref="A2:L21"/>
  <sheetViews>
    <sheetView topLeftCell="B14" workbookViewId="0">
      <selection activeCell="I21" sqref="I21"/>
    </sheetView>
  </sheetViews>
  <sheetFormatPr defaultRowHeight="14.25"/>
  <cols>
    <col min="8" max="8" width="11.875" customWidth="1"/>
    <col min="10" max="10" width="12.375" customWidth="1"/>
  </cols>
  <sheetData>
    <row r="2" spans="1:12">
      <c r="A2" t="s">
        <v>0</v>
      </c>
      <c r="E2" t="s">
        <v>15</v>
      </c>
    </row>
    <row r="3" spans="1:12">
      <c r="A3" s="1" t="s">
        <v>1</v>
      </c>
      <c r="B3">
        <v>0</v>
      </c>
      <c r="E3" s="1" t="s">
        <v>16</v>
      </c>
    </row>
    <row r="4" spans="1:12">
      <c r="A4" s="1" t="s">
        <v>2</v>
      </c>
      <c r="B4">
        <v>4.4999999999999998E-2</v>
      </c>
      <c r="E4" s="1" t="s">
        <v>17</v>
      </c>
    </row>
    <row r="5" spans="1:12">
      <c r="A5" t="s">
        <v>6</v>
      </c>
      <c r="B5">
        <v>1E-3</v>
      </c>
    </row>
    <row r="7" spans="1:12" ht="45">
      <c r="A7" s="2" t="s">
        <v>3</v>
      </c>
      <c r="B7" s="2" t="s">
        <v>4</v>
      </c>
      <c r="C7" s="2" t="s">
        <v>8</v>
      </c>
      <c r="D7" s="4" t="s">
        <v>7</v>
      </c>
      <c r="E7" s="2" t="s">
        <v>10</v>
      </c>
      <c r="F7" s="2" t="s">
        <v>9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</v>
      </c>
      <c r="L7" s="2" t="s">
        <v>2</v>
      </c>
    </row>
    <row r="8" spans="1:12">
      <c r="A8" s="5">
        <v>1</v>
      </c>
      <c r="B8" s="5">
        <v>40</v>
      </c>
      <c r="C8" s="5">
        <v>0</v>
      </c>
      <c r="D8" s="4">
        <f>B3+B4*B8</f>
        <v>1.7999999999999998</v>
      </c>
      <c r="E8" s="3">
        <f>EXP(-D8)</f>
        <v>0.16529888822158656</v>
      </c>
      <c r="F8" s="3">
        <f>1/(1+E8)</f>
        <v>0.85814893509951229</v>
      </c>
      <c r="G8" s="4">
        <f>F8-C8</f>
        <v>0.85814893509951229</v>
      </c>
      <c r="H8" s="4">
        <f>SUM(G8:G13)</f>
        <v>2.6150138090503479</v>
      </c>
      <c r="I8" s="4">
        <f>G8*B8</f>
        <v>34.325957403980489</v>
      </c>
      <c r="J8" s="4">
        <f>SUM(I8:I13)</f>
        <v>129.23477083700789</v>
      </c>
      <c r="K8" s="4">
        <f>B3-B5*H8</f>
        <v>-2.6150138090503478E-3</v>
      </c>
      <c r="L8" s="4">
        <f>B4-B5*J8</f>
        <v>-8.423477083700788E-2</v>
      </c>
    </row>
    <row r="9" spans="1:12">
      <c r="A9" s="5">
        <v>2</v>
      </c>
      <c r="B9" s="5">
        <v>50</v>
      </c>
      <c r="C9" s="5">
        <v>0</v>
      </c>
      <c r="D9" s="4">
        <f>B3+B4*B9</f>
        <v>2.25</v>
      </c>
      <c r="E9" s="3">
        <f t="shared" ref="E9:E13" si="0">EXP(-D9)</f>
        <v>0.10539922456186433</v>
      </c>
      <c r="F9" s="3">
        <f t="shared" ref="F9:F13" si="1">1/(1+E9)</f>
        <v>0.90465053510089055</v>
      </c>
      <c r="G9" s="4">
        <f t="shared" ref="G9:G13" si="2">F9-C9</f>
        <v>0.90465053510089055</v>
      </c>
      <c r="H9" s="3"/>
      <c r="I9" s="4">
        <f t="shared" ref="I9:I13" si="3">G9*B9</f>
        <v>45.232526755044525</v>
      </c>
      <c r="J9" s="3"/>
      <c r="K9" s="3"/>
      <c r="L9" s="3"/>
    </row>
    <row r="10" spans="1:12">
      <c r="A10" s="5">
        <v>3</v>
      </c>
      <c r="B10" s="5">
        <v>60</v>
      </c>
      <c r="C10" s="5">
        <v>0</v>
      </c>
      <c r="D10" s="4">
        <f>B3+B4*B10</f>
        <v>2.6999999999999997</v>
      </c>
      <c r="E10" s="3">
        <f t="shared" si="0"/>
        <v>6.7205512739749784E-2</v>
      </c>
      <c r="F10" s="3">
        <f t="shared" si="1"/>
        <v>0.9370266439430035</v>
      </c>
      <c r="G10" s="4">
        <f t="shared" si="2"/>
        <v>0.9370266439430035</v>
      </c>
      <c r="H10" s="3"/>
      <c r="I10" s="4">
        <f t="shared" si="3"/>
        <v>56.221598636580211</v>
      </c>
      <c r="J10" s="3"/>
      <c r="K10" s="3"/>
      <c r="L10" s="3"/>
    </row>
    <row r="11" spans="1:12">
      <c r="A11" s="5">
        <v>4</v>
      </c>
      <c r="B11" s="5">
        <v>70</v>
      </c>
      <c r="C11" s="5">
        <v>1</v>
      </c>
      <c r="D11" s="4">
        <f>B3+B4*B11</f>
        <v>3.15</v>
      </c>
      <c r="E11" s="3">
        <f t="shared" si="0"/>
        <v>4.2852126867040187E-2</v>
      </c>
      <c r="F11" s="3">
        <f t="shared" si="1"/>
        <v>0.95890872179953501</v>
      </c>
      <c r="G11" s="4">
        <f t="shared" si="2"/>
        <v>-4.1091278200464987E-2</v>
      </c>
      <c r="H11" s="3"/>
      <c r="I11" s="4">
        <f t="shared" si="3"/>
        <v>-2.8763894740325489</v>
      </c>
      <c r="J11" s="3"/>
      <c r="K11" s="3"/>
      <c r="L11" s="3"/>
    </row>
    <row r="12" spans="1:12">
      <c r="A12" s="5">
        <v>5</v>
      </c>
      <c r="B12" s="5">
        <v>80</v>
      </c>
      <c r="C12" s="5">
        <v>1</v>
      </c>
      <c r="D12" s="4">
        <f>B3+B4*B12</f>
        <v>3.5999999999999996</v>
      </c>
      <c r="E12" s="3">
        <f t="shared" si="0"/>
        <v>2.7323722447292569E-2</v>
      </c>
      <c r="F12" s="3">
        <f t="shared" si="1"/>
        <v>0.97340300642313404</v>
      </c>
      <c r="G12" s="4">
        <f t="shared" si="2"/>
        <v>-2.6596993576865957E-2</v>
      </c>
      <c r="H12" s="3"/>
      <c r="I12" s="4">
        <f t="shared" si="3"/>
        <v>-2.1277594861492766</v>
      </c>
      <c r="J12" s="3"/>
      <c r="K12" s="3"/>
      <c r="L12" s="3"/>
    </row>
    <row r="13" spans="1:12">
      <c r="A13" s="5">
        <v>6</v>
      </c>
      <c r="B13" s="5">
        <v>90</v>
      </c>
      <c r="C13" s="5">
        <v>1</v>
      </c>
      <c r="D13" s="4">
        <f>B3+B4*B13</f>
        <v>4.05</v>
      </c>
      <c r="E13" s="3">
        <f t="shared" si="0"/>
        <v>1.7422374639493515E-2</v>
      </c>
      <c r="F13" s="3">
        <f t="shared" si="1"/>
        <v>0.98287596668427235</v>
      </c>
      <c r="G13" s="4">
        <f t="shared" si="2"/>
        <v>-1.7124033315727649E-2</v>
      </c>
      <c r="H13" s="3"/>
      <c r="I13" s="4">
        <f t="shared" si="3"/>
        <v>-1.5411629984154884</v>
      </c>
      <c r="J13" s="3"/>
      <c r="K13" s="3"/>
      <c r="L13" s="3"/>
    </row>
    <row r="16" spans="1:12">
      <c r="G16" t="s">
        <v>18</v>
      </c>
      <c r="I16" t="s">
        <v>19</v>
      </c>
    </row>
    <row r="19" spans="6:8">
      <c r="F19" t="s">
        <v>21</v>
      </c>
      <c r="H19" t="s">
        <v>22</v>
      </c>
    </row>
    <row r="21" spans="6:8">
      <c r="G21" t="s">
        <v>23</v>
      </c>
      <c r="H2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FB91-B3E4-48AD-A5E4-B973526AA00B}">
  <dimension ref="A1:C7"/>
  <sheetViews>
    <sheetView topLeftCell="D6" workbookViewId="0">
      <selection activeCell="C2" sqref="C2"/>
    </sheetView>
  </sheetViews>
  <sheetFormatPr defaultRowHeight="14.25"/>
  <cols>
    <col min="1" max="1" width="8.875" bestFit="1" customWidth="1"/>
    <col min="2" max="2" width="17.875" bestFit="1" customWidth="1"/>
    <col min="3" max="3" width="10.625" bestFit="1" customWidth="1"/>
  </cols>
  <sheetData>
    <row r="1" spans="1:3">
      <c r="A1" s="14" t="s">
        <v>25</v>
      </c>
      <c r="B1" s="14" t="s">
        <v>26</v>
      </c>
      <c r="C1" s="14" t="s">
        <v>27</v>
      </c>
    </row>
    <row r="2" spans="1:3">
      <c r="A2" s="14">
        <v>30</v>
      </c>
      <c r="B2" s="14">
        <v>-6</v>
      </c>
      <c r="C2" s="14">
        <v>2E-3</v>
      </c>
    </row>
    <row r="3" spans="1:3">
      <c r="A3" s="14">
        <v>40</v>
      </c>
      <c r="B3" s="14">
        <v>-4</v>
      </c>
      <c r="C3" s="14">
        <v>1.7999999999999999E-2</v>
      </c>
    </row>
    <row r="4" spans="1:3">
      <c r="A4" s="14">
        <v>50</v>
      </c>
      <c r="B4" s="14">
        <v>-2</v>
      </c>
      <c r="C4" s="14">
        <v>0.11899999999999999</v>
      </c>
    </row>
    <row r="5" spans="1:3">
      <c r="A5" s="14">
        <v>60</v>
      </c>
      <c r="B5" s="14">
        <v>0</v>
      </c>
      <c r="C5" s="14">
        <v>0.5</v>
      </c>
    </row>
    <row r="6" spans="1:3">
      <c r="A6" s="14">
        <v>70</v>
      </c>
      <c r="B6" s="14">
        <v>2</v>
      </c>
      <c r="C6" s="14">
        <v>0.88100000000000001</v>
      </c>
    </row>
    <row r="7" spans="1:3">
      <c r="A7" s="14">
        <v>80</v>
      </c>
      <c r="B7" s="14">
        <v>4</v>
      </c>
      <c r="C7" s="14">
        <v>0.98199999999999998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2E7B-7072-43F4-8843-10831F78BFE6}">
  <dimension ref="A1:C21"/>
  <sheetViews>
    <sheetView tabSelected="1" topLeftCell="B1" zoomScale="80" zoomScaleNormal="80" workbookViewId="0">
      <selection activeCell="F13" sqref="F13"/>
    </sheetView>
  </sheetViews>
  <sheetFormatPr defaultRowHeight="14.25"/>
  <cols>
    <col min="1" max="1" width="11.125" bestFit="1" customWidth="1"/>
    <col min="3" max="3" width="13" bestFit="1" customWidth="1"/>
  </cols>
  <sheetData>
    <row r="1" spans="1:3" ht="18">
      <c r="A1" s="7" t="s">
        <v>25</v>
      </c>
      <c r="B1" s="7" t="s">
        <v>28</v>
      </c>
      <c r="C1" s="7" t="s">
        <v>27</v>
      </c>
    </row>
    <row r="2" spans="1:3" ht="18">
      <c r="A2" s="8">
        <v>30</v>
      </c>
      <c r="B2" s="8">
        <v>-6</v>
      </c>
      <c r="C2" s="8">
        <v>2E-3</v>
      </c>
    </row>
    <row r="3" spans="1:3" ht="18">
      <c r="A3" s="8">
        <v>35</v>
      </c>
      <c r="B3" s="8">
        <v>-5</v>
      </c>
      <c r="C3" s="8">
        <v>7.0000000000000001E-3</v>
      </c>
    </row>
    <row r="4" spans="1:3" ht="18">
      <c r="A4" s="8">
        <v>40</v>
      </c>
      <c r="B4" s="8">
        <v>-4</v>
      </c>
      <c r="C4" s="8">
        <v>1.7999999999999999E-2</v>
      </c>
    </row>
    <row r="5" spans="1:3" ht="18">
      <c r="A5" s="8">
        <v>45</v>
      </c>
      <c r="B5" s="8">
        <v>-3</v>
      </c>
      <c r="C5" s="8">
        <v>4.7E-2</v>
      </c>
    </row>
    <row r="6" spans="1:3" ht="18">
      <c r="A6" s="8">
        <v>50</v>
      </c>
      <c r="B6" s="8">
        <v>-2</v>
      </c>
      <c r="C6" s="8">
        <v>0.11899999999999999</v>
      </c>
    </row>
    <row r="7" spans="1:3" ht="18">
      <c r="A7" s="8">
        <v>52</v>
      </c>
      <c r="B7" s="8">
        <v>-1.6</v>
      </c>
      <c r="C7" s="8">
        <v>0.16700000000000001</v>
      </c>
    </row>
    <row r="8" spans="1:3" ht="18">
      <c r="A8" s="8">
        <v>54</v>
      </c>
      <c r="B8" s="8">
        <v>-1.2</v>
      </c>
      <c r="C8" s="8">
        <v>0.23100000000000001</v>
      </c>
    </row>
    <row r="9" spans="1:3" ht="18">
      <c r="A9" s="8">
        <v>56</v>
      </c>
      <c r="B9" s="8">
        <v>-0.8</v>
      </c>
      <c r="C9" s="8">
        <v>0.31</v>
      </c>
    </row>
    <row r="10" spans="1:3" ht="18">
      <c r="A10" s="8">
        <v>58</v>
      </c>
      <c r="B10" s="8">
        <v>-0.4</v>
      </c>
      <c r="C10" s="8">
        <v>0.40100000000000002</v>
      </c>
    </row>
    <row r="11" spans="1:3" ht="18">
      <c r="A11" s="8">
        <v>60</v>
      </c>
      <c r="B11" s="8">
        <v>0</v>
      </c>
      <c r="C11" s="8">
        <v>0.5</v>
      </c>
    </row>
    <row r="12" spans="1:3" ht="18">
      <c r="A12" s="8">
        <v>62</v>
      </c>
      <c r="B12" s="8">
        <v>0.4</v>
      </c>
      <c r="C12" s="8">
        <v>0.59799999999999998</v>
      </c>
    </row>
    <row r="13" spans="1:3" ht="18">
      <c r="A13" s="8">
        <v>64</v>
      </c>
      <c r="B13" s="8">
        <v>0.8</v>
      </c>
      <c r="C13" s="8">
        <v>0.69</v>
      </c>
    </row>
    <row r="14" spans="1:3" ht="18">
      <c r="A14" s="8">
        <v>66</v>
      </c>
      <c r="B14" s="8">
        <v>1.2</v>
      </c>
      <c r="C14" s="8">
        <v>0.76900000000000002</v>
      </c>
    </row>
    <row r="15" spans="1:3" ht="18">
      <c r="A15" s="8">
        <v>68</v>
      </c>
      <c r="B15" s="8">
        <v>1.6</v>
      </c>
      <c r="C15" s="8">
        <v>0.83199999999999996</v>
      </c>
    </row>
    <row r="16" spans="1:3" ht="18">
      <c r="A16" s="8">
        <v>70</v>
      </c>
      <c r="B16" s="8">
        <v>2</v>
      </c>
      <c r="C16" s="8">
        <v>0.88100000000000001</v>
      </c>
    </row>
    <row r="17" spans="1:3" ht="18">
      <c r="A17" s="8">
        <v>72</v>
      </c>
      <c r="B17" s="8">
        <v>2.4</v>
      </c>
      <c r="C17" s="8">
        <v>0.91700000000000004</v>
      </c>
    </row>
    <row r="18" spans="1:3" ht="18">
      <c r="A18" s="8">
        <v>74</v>
      </c>
      <c r="B18" s="8">
        <v>2.8</v>
      </c>
      <c r="C18" s="8">
        <v>0.94299999999999995</v>
      </c>
    </row>
    <row r="19" spans="1:3" ht="18">
      <c r="A19" s="8">
        <v>76</v>
      </c>
      <c r="B19" s="8">
        <v>3.2</v>
      </c>
      <c r="C19" s="8">
        <v>0.96</v>
      </c>
    </row>
    <row r="20" spans="1:3" ht="18">
      <c r="A20" s="8">
        <v>78</v>
      </c>
      <c r="B20" s="8">
        <v>3.6</v>
      </c>
      <c r="C20" s="8">
        <v>0.97299999999999998</v>
      </c>
    </row>
    <row r="21" spans="1:3" ht="18">
      <c r="A21" s="8">
        <v>80</v>
      </c>
      <c r="B21" s="8">
        <v>4</v>
      </c>
      <c r="C21" s="8">
        <v>0.98199999999999998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Dataset</vt:lpstr>
      <vt:lpstr>Iteration-1</vt:lpstr>
      <vt:lpstr>Iteration-2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PRABHURAJ METIPATIL</dc:creator>
  <cp:lastModifiedBy>Admin</cp:lastModifiedBy>
  <dcterms:created xsi:type="dcterms:W3CDTF">2026-03-10T04:30:42Z</dcterms:created>
  <dcterms:modified xsi:type="dcterms:W3CDTF">2026-04-03T06:53:36Z</dcterms:modified>
</cp:coreProperties>
</file>